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idri\GitHub\didrik147.github.io\board-games\dominion-jinja\"/>
    </mc:Choice>
  </mc:AlternateContent>
  <xr:revisionPtr revIDLastSave="0" documentId="13_ncr:1_{09B14A4C-AD7A-47A8-884D-940FACEF412E}" xr6:coauthVersionLast="47" xr6:coauthVersionMax="47" xr10:uidLastSave="{00000000-0000-0000-0000-000000000000}"/>
  <bookViews>
    <workbookView xWindow="-23148" yWindow="-108" windowWidth="23256" windowHeight="12456" activeTab="2" xr2:uid="{00000000-000D-0000-FFFF-FFFF00000000}"/>
  </bookViews>
  <sheets>
    <sheet name="cards" sheetId="1" r:id="rId1"/>
    <sheet name="high_and_low" sheetId="2" r:id="rId2"/>
    <sheet name="paths_to_victor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2" i="1"/>
</calcChain>
</file>

<file path=xl/sharedStrings.xml><?xml version="1.0" encoding="utf-8"?>
<sst xmlns="http://schemas.openxmlformats.org/spreadsheetml/2006/main" count="113" uniqueCount="64">
  <si>
    <t>Bank</t>
  </si>
  <si>
    <t>prosperity</t>
  </si>
  <si>
    <t>Rabble</t>
  </si>
  <si>
    <t>Clerk</t>
  </si>
  <si>
    <t>prosperity2add</t>
  </si>
  <si>
    <t>Magnate</t>
  </si>
  <si>
    <t>Expand</t>
  </si>
  <si>
    <t>Tiara</t>
  </si>
  <si>
    <t>Crystal Ball</t>
  </si>
  <si>
    <t>Watchtower</t>
  </si>
  <si>
    <t>Monument</t>
  </si>
  <si>
    <t>Worker's Village</t>
  </si>
  <si>
    <t>Bishop</t>
  </si>
  <si>
    <t>City</t>
  </si>
  <si>
    <t>Collection</t>
  </si>
  <si>
    <t>Forge</t>
  </si>
  <si>
    <t>Hoard</t>
  </si>
  <si>
    <t>Peddler</t>
  </si>
  <si>
    <t>Vault</t>
  </si>
  <si>
    <t>War Chest</t>
  </si>
  <si>
    <t>Baron</t>
  </si>
  <si>
    <t>intrigue</t>
  </si>
  <si>
    <t>Harem</t>
  </si>
  <si>
    <t>Pawn</t>
  </si>
  <si>
    <t>Shanty Town</t>
  </si>
  <si>
    <t>Upgrade</t>
  </si>
  <si>
    <t>Torturer</t>
  </si>
  <si>
    <t>Great Hall</t>
  </si>
  <si>
    <t>Bridge</t>
  </si>
  <si>
    <t>Mining Village</t>
  </si>
  <si>
    <t>Anvil</t>
  </si>
  <si>
    <t>Coppersmith</t>
  </si>
  <si>
    <t>Swindler</t>
  </si>
  <si>
    <t>Tribute</t>
  </si>
  <si>
    <t>Wishing Well</t>
  </si>
  <si>
    <t>King's Court</t>
  </si>
  <si>
    <t>Counterfeit</t>
  </si>
  <si>
    <t>darkages</t>
  </si>
  <si>
    <t>Forager</t>
  </si>
  <si>
    <t>Market Square</t>
  </si>
  <si>
    <t>Pillage</t>
  </si>
  <si>
    <t>Squire</t>
  </si>
  <si>
    <t>Bandit Camp</t>
  </si>
  <si>
    <t>Marauder</t>
  </si>
  <si>
    <t>Procession</t>
  </si>
  <si>
    <t>Rogue</t>
  </si>
  <si>
    <t>Quarry</t>
  </si>
  <si>
    <t>name</t>
  </si>
  <si>
    <t>fixed_text</t>
  </si>
  <si>
    <t>expansion</t>
  </si>
  <si>
    <t>baseset</t>
  </si>
  <si>
    <t>hermit</t>
  </si>
  <si>
    <t>huntinggrounds</t>
  </si>
  <si>
    <t>mystic</t>
  </si>
  <si>
    <t>poorhouse</t>
  </si>
  <si>
    <t>wanderingminstrel</t>
  </si>
  <si>
    <t>cellar</t>
  </si>
  <si>
    <t>moneylender</t>
  </si>
  <si>
    <t>throneroom</t>
  </si>
  <si>
    <t>witch</t>
  </si>
  <si>
    <t>workshop</t>
  </si>
  <si>
    <t>Intrigue (1st Ed)</t>
  </si>
  <si>
    <t>Prosperity (2nd Ed)</t>
  </si>
  <si>
    <t>Venture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</si>
</sst>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4"/>
  <sheetViews>
    <sheetView workbookViewId="0">
      <selection activeCell="B2" sqref="B2"/>
    </sheetView>
  </sheetViews>
  <sheetFormatPr defaultRowHeight="15" x14ac:dyDescent="0.25"/>
  <cols>
    <col min="1" max="1" width="15.5703125" bestFit="1" customWidth="1"/>
    <col min="2" max="2" width="14.140625" bestFit="1" customWidth="1"/>
    <col min="3" max="3" width="16.7109375" customWidth="1"/>
  </cols>
  <sheetData>
    <row r="1" spans="1:3" x14ac:dyDescent="0.25">
      <c r="A1" t="s">
        <v>47</v>
      </c>
      <c r="B1" t="s">
        <v>48</v>
      </c>
      <c r="C1" t="s">
        <v>49</v>
      </c>
    </row>
    <row r="2" spans="1:3" x14ac:dyDescent="0.25">
      <c r="A2" t="s">
        <v>0</v>
      </c>
      <c r="B2" t="str">
        <f>LOWER(_xlfn.REGEXREPLACE(A2, "[ ']", ""))</f>
        <v>bank</v>
      </c>
      <c r="C2" t="s">
        <v>1</v>
      </c>
    </row>
    <row r="3" spans="1:3" x14ac:dyDescent="0.25">
      <c r="A3" t="s">
        <v>2</v>
      </c>
      <c r="B3" t="str">
        <f t="shared" ref="B3:B44" si="0">LOWER(_xlfn.REGEXREPLACE(A3, "[ ']", ""))</f>
        <v>rabble</v>
      </c>
      <c r="C3" t="s">
        <v>1</v>
      </c>
    </row>
    <row r="4" spans="1:3" x14ac:dyDescent="0.25">
      <c r="A4" t="s">
        <v>3</v>
      </c>
      <c r="B4" t="str">
        <f t="shared" si="0"/>
        <v>clerk</v>
      </c>
      <c r="C4" t="s">
        <v>4</v>
      </c>
    </row>
    <row r="5" spans="1:3" x14ac:dyDescent="0.25">
      <c r="A5" t="s">
        <v>5</v>
      </c>
      <c r="B5" t="str">
        <f t="shared" si="0"/>
        <v>magnate</v>
      </c>
      <c r="C5" t="s">
        <v>4</v>
      </c>
    </row>
    <row r="6" spans="1:3" x14ac:dyDescent="0.25">
      <c r="A6" t="s">
        <v>6</v>
      </c>
      <c r="B6" t="str">
        <f t="shared" si="0"/>
        <v>expand</v>
      </c>
      <c r="C6" t="s">
        <v>1</v>
      </c>
    </row>
    <row r="7" spans="1:3" x14ac:dyDescent="0.25">
      <c r="A7" t="s">
        <v>7</v>
      </c>
      <c r="B7" t="str">
        <f t="shared" si="0"/>
        <v>tiara</v>
      </c>
      <c r="C7" t="s">
        <v>4</v>
      </c>
    </row>
    <row r="8" spans="1:3" x14ac:dyDescent="0.25">
      <c r="A8" t="s">
        <v>8</v>
      </c>
      <c r="B8" t="str">
        <f t="shared" si="0"/>
        <v>crystalball</v>
      </c>
      <c r="C8" t="s">
        <v>4</v>
      </c>
    </row>
    <row r="9" spans="1:3" x14ac:dyDescent="0.25">
      <c r="A9" t="s">
        <v>9</v>
      </c>
      <c r="B9" t="str">
        <f t="shared" si="0"/>
        <v>watchtower</v>
      </c>
      <c r="C9" t="s">
        <v>1</v>
      </c>
    </row>
    <row r="10" spans="1:3" x14ac:dyDescent="0.25">
      <c r="A10" t="s">
        <v>10</v>
      </c>
      <c r="B10" t="str">
        <f t="shared" si="0"/>
        <v>monument</v>
      </c>
      <c r="C10" t="s">
        <v>1</v>
      </c>
    </row>
    <row r="11" spans="1:3" x14ac:dyDescent="0.25">
      <c r="A11" t="s">
        <v>11</v>
      </c>
      <c r="B11" t="str">
        <f t="shared" si="0"/>
        <v>workersvillage</v>
      </c>
      <c r="C11" t="s">
        <v>1</v>
      </c>
    </row>
    <row r="12" spans="1:3" x14ac:dyDescent="0.25">
      <c r="A12" t="s">
        <v>12</v>
      </c>
      <c r="B12" t="str">
        <f t="shared" si="0"/>
        <v>bishop</v>
      </c>
      <c r="C12" t="s">
        <v>1</v>
      </c>
    </row>
    <row r="13" spans="1:3" x14ac:dyDescent="0.25">
      <c r="A13" t="s">
        <v>13</v>
      </c>
      <c r="B13" t="str">
        <f t="shared" si="0"/>
        <v>city</v>
      </c>
      <c r="C13" t="s">
        <v>1</v>
      </c>
    </row>
    <row r="14" spans="1:3" x14ac:dyDescent="0.25">
      <c r="A14" t="s">
        <v>14</v>
      </c>
      <c r="B14" t="str">
        <f t="shared" si="0"/>
        <v>collection</v>
      </c>
      <c r="C14" t="s">
        <v>4</v>
      </c>
    </row>
    <row r="15" spans="1:3" x14ac:dyDescent="0.25">
      <c r="A15" t="s">
        <v>15</v>
      </c>
      <c r="B15" t="str">
        <f t="shared" si="0"/>
        <v>forge</v>
      </c>
      <c r="C15" t="s">
        <v>1</v>
      </c>
    </row>
    <row r="16" spans="1:3" x14ac:dyDescent="0.25">
      <c r="A16" t="s">
        <v>16</v>
      </c>
      <c r="B16" t="str">
        <f t="shared" si="0"/>
        <v>hoard</v>
      </c>
      <c r="C16" t="s">
        <v>1</v>
      </c>
    </row>
    <row r="17" spans="1:3" x14ac:dyDescent="0.25">
      <c r="A17" t="s">
        <v>17</v>
      </c>
      <c r="B17" t="str">
        <f t="shared" si="0"/>
        <v>peddler</v>
      </c>
      <c r="C17" t="s">
        <v>1</v>
      </c>
    </row>
    <row r="18" spans="1:3" x14ac:dyDescent="0.25">
      <c r="A18" t="s">
        <v>18</v>
      </c>
      <c r="B18" t="str">
        <f t="shared" si="0"/>
        <v>vault</v>
      </c>
      <c r="C18" t="s">
        <v>1</v>
      </c>
    </row>
    <row r="19" spans="1:3" x14ac:dyDescent="0.25">
      <c r="A19" t="s">
        <v>19</v>
      </c>
      <c r="B19" t="str">
        <f t="shared" si="0"/>
        <v>warchest</v>
      </c>
      <c r="C19" t="s">
        <v>4</v>
      </c>
    </row>
    <row r="20" spans="1:3" x14ac:dyDescent="0.25">
      <c r="A20" t="s">
        <v>20</v>
      </c>
      <c r="B20" t="str">
        <f t="shared" si="0"/>
        <v>baron</v>
      </c>
      <c r="C20" t="s">
        <v>21</v>
      </c>
    </row>
    <row r="21" spans="1:3" x14ac:dyDescent="0.25">
      <c r="A21" t="s">
        <v>22</v>
      </c>
      <c r="B21" t="str">
        <f t="shared" si="0"/>
        <v>harem</v>
      </c>
      <c r="C21" t="s">
        <v>21</v>
      </c>
    </row>
    <row r="22" spans="1:3" x14ac:dyDescent="0.25">
      <c r="A22" t="s">
        <v>23</v>
      </c>
      <c r="B22" t="str">
        <f t="shared" si="0"/>
        <v>pawn</v>
      </c>
      <c r="C22" t="s">
        <v>21</v>
      </c>
    </row>
    <row r="23" spans="1:3" x14ac:dyDescent="0.25">
      <c r="A23" t="s">
        <v>24</v>
      </c>
      <c r="B23" t="str">
        <f t="shared" si="0"/>
        <v>shantytown</v>
      </c>
      <c r="C23" t="s">
        <v>21</v>
      </c>
    </row>
    <row r="24" spans="1:3" x14ac:dyDescent="0.25">
      <c r="A24" t="s">
        <v>25</v>
      </c>
      <c r="B24" t="str">
        <f t="shared" si="0"/>
        <v>upgrade</v>
      </c>
      <c r="C24" t="s">
        <v>21</v>
      </c>
    </row>
    <row r="25" spans="1:3" x14ac:dyDescent="0.25">
      <c r="A25" t="s">
        <v>26</v>
      </c>
      <c r="B25" t="str">
        <f t="shared" si="0"/>
        <v>torturer</v>
      </c>
      <c r="C25" t="s">
        <v>21</v>
      </c>
    </row>
    <row r="26" spans="1:3" x14ac:dyDescent="0.25">
      <c r="A26" t="s">
        <v>27</v>
      </c>
      <c r="B26" t="str">
        <f t="shared" si="0"/>
        <v>greathall</v>
      </c>
      <c r="C26" t="s">
        <v>21</v>
      </c>
    </row>
    <row r="27" spans="1:3" x14ac:dyDescent="0.25">
      <c r="A27" t="s">
        <v>28</v>
      </c>
      <c r="B27" t="str">
        <f t="shared" si="0"/>
        <v>bridge</v>
      </c>
      <c r="C27" t="s">
        <v>21</v>
      </c>
    </row>
    <row r="28" spans="1:3" x14ac:dyDescent="0.25">
      <c r="A28" t="s">
        <v>29</v>
      </c>
      <c r="B28" t="str">
        <f t="shared" si="0"/>
        <v>miningvillage</v>
      </c>
      <c r="C28" t="s">
        <v>21</v>
      </c>
    </row>
    <row r="29" spans="1:3" x14ac:dyDescent="0.25">
      <c r="A29" t="s">
        <v>30</v>
      </c>
      <c r="B29" t="str">
        <f t="shared" si="0"/>
        <v>anvil</v>
      </c>
      <c r="C29" t="s">
        <v>4</v>
      </c>
    </row>
    <row r="30" spans="1:3" x14ac:dyDescent="0.25">
      <c r="A30" t="s">
        <v>31</v>
      </c>
      <c r="B30" t="str">
        <f t="shared" si="0"/>
        <v>coppersmith</v>
      </c>
      <c r="C30" t="s">
        <v>21</v>
      </c>
    </row>
    <row r="31" spans="1:3" x14ac:dyDescent="0.25">
      <c r="A31" t="s">
        <v>32</v>
      </c>
      <c r="B31" t="str">
        <f t="shared" si="0"/>
        <v>swindler</v>
      </c>
      <c r="C31" t="s">
        <v>21</v>
      </c>
    </row>
    <row r="32" spans="1:3" x14ac:dyDescent="0.25">
      <c r="A32" t="s">
        <v>33</v>
      </c>
      <c r="B32" t="str">
        <f t="shared" si="0"/>
        <v>tribute</v>
      </c>
      <c r="C32" t="s">
        <v>21</v>
      </c>
    </row>
    <row r="33" spans="1:3" x14ac:dyDescent="0.25">
      <c r="A33" t="s">
        <v>34</v>
      </c>
      <c r="B33" t="str">
        <f t="shared" si="0"/>
        <v>wishingwell</v>
      </c>
      <c r="C33" t="s">
        <v>21</v>
      </c>
    </row>
    <row r="34" spans="1:3" x14ac:dyDescent="0.25">
      <c r="A34" t="s">
        <v>35</v>
      </c>
      <c r="B34" t="str">
        <f t="shared" si="0"/>
        <v>kingscourt</v>
      </c>
      <c r="C34" t="s">
        <v>1</v>
      </c>
    </row>
    <row r="35" spans="1:3" x14ac:dyDescent="0.25">
      <c r="A35" t="s">
        <v>36</v>
      </c>
      <c r="B35" t="str">
        <f t="shared" si="0"/>
        <v>counterfeit</v>
      </c>
      <c r="C35" t="s">
        <v>37</v>
      </c>
    </row>
    <row r="36" spans="1:3" x14ac:dyDescent="0.25">
      <c r="A36" t="s">
        <v>38</v>
      </c>
      <c r="B36" t="str">
        <f t="shared" si="0"/>
        <v>forager</v>
      </c>
      <c r="C36" t="s">
        <v>37</v>
      </c>
    </row>
    <row r="37" spans="1:3" x14ac:dyDescent="0.25">
      <c r="A37" t="s">
        <v>39</v>
      </c>
      <c r="B37" t="str">
        <f t="shared" si="0"/>
        <v>marketsquare</v>
      </c>
      <c r="C37" t="s">
        <v>37</v>
      </c>
    </row>
    <row r="38" spans="1:3" x14ac:dyDescent="0.25">
      <c r="A38" t="s">
        <v>40</v>
      </c>
      <c r="B38" t="str">
        <f t="shared" si="0"/>
        <v>pillage</v>
      </c>
      <c r="C38" t="s">
        <v>37</v>
      </c>
    </row>
    <row r="39" spans="1:3" x14ac:dyDescent="0.25">
      <c r="A39" t="s">
        <v>41</v>
      </c>
      <c r="B39" t="str">
        <f t="shared" si="0"/>
        <v>squire</v>
      </c>
      <c r="C39" t="s">
        <v>37</v>
      </c>
    </row>
    <row r="40" spans="1:3" x14ac:dyDescent="0.25">
      <c r="A40" t="s">
        <v>42</v>
      </c>
      <c r="B40" t="str">
        <f t="shared" si="0"/>
        <v>banditcamp</v>
      </c>
      <c r="C40" t="s">
        <v>37</v>
      </c>
    </row>
    <row r="41" spans="1:3" x14ac:dyDescent="0.25">
      <c r="A41" t="s">
        <v>43</v>
      </c>
      <c r="B41" t="str">
        <f t="shared" si="0"/>
        <v>marauder</v>
      </c>
      <c r="C41" t="s">
        <v>37</v>
      </c>
    </row>
    <row r="42" spans="1:3" x14ac:dyDescent="0.25">
      <c r="A42" t="s">
        <v>44</v>
      </c>
      <c r="B42" t="str">
        <f t="shared" si="0"/>
        <v>procession</v>
      </c>
      <c r="C42" t="s">
        <v>37</v>
      </c>
    </row>
    <row r="43" spans="1:3" x14ac:dyDescent="0.25">
      <c r="A43" t="s">
        <v>45</v>
      </c>
      <c r="B43" t="str">
        <f t="shared" si="0"/>
        <v>rogue</v>
      </c>
      <c r="C43" t="s">
        <v>37</v>
      </c>
    </row>
    <row r="44" spans="1:3" x14ac:dyDescent="0.25">
      <c r="A44" t="s">
        <v>46</v>
      </c>
      <c r="B44" t="str">
        <f t="shared" si="0"/>
        <v>quarry</v>
      </c>
      <c r="C44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BE272-BDA7-48E0-BBAD-E7C3B35FC2D9}">
  <dimension ref="A1:B6"/>
  <sheetViews>
    <sheetView workbookViewId="0">
      <selection activeCell="C12" sqref="C12"/>
    </sheetView>
  </sheetViews>
  <sheetFormatPr defaultRowHeight="15" x14ac:dyDescent="0.25"/>
  <cols>
    <col min="1" max="1" width="13.140625" bestFit="1" customWidth="1"/>
    <col min="2" max="2" width="18.85546875" bestFit="1" customWidth="1"/>
  </cols>
  <sheetData>
    <row r="1" spans="1:2" x14ac:dyDescent="0.25">
      <c r="A1" t="s">
        <v>50</v>
      </c>
      <c r="B1" t="s">
        <v>37</v>
      </c>
    </row>
    <row r="2" spans="1:2" x14ac:dyDescent="0.25">
      <c r="A2" t="s">
        <v>56</v>
      </c>
      <c r="B2" t="s">
        <v>51</v>
      </c>
    </row>
    <row r="3" spans="1:2" x14ac:dyDescent="0.25">
      <c r="A3" t="s">
        <v>57</v>
      </c>
      <c r="B3" t="s">
        <v>52</v>
      </c>
    </row>
    <row r="4" spans="1:2" x14ac:dyDescent="0.25">
      <c r="A4" t="s">
        <v>58</v>
      </c>
      <c r="B4" t="s">
        <v>53</v>
      </c>
    </row>
    <row r="5" spans="1:2" x14ac:dyDescent="0.25">
      <c r="A5" t="s">
        <v>59</v>
      </c>
      <c r="B5" t="s">
        <v>54</v>
      </c>
    </row>
    <row r="6" spans="1:2" x14ac:dyDescent="0.25">
      <c r="A6" t="s">
        <v>60</v>
      </c>
      <c r="B6" t="s">
        <v>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6B9D3-8158-4D83-92CA-BFE7AC4E4D6A}">
  <dimension ref="A1:B6"/>
  <sheetViews>
    <sheetView tabSelected="1" workbookViewId="0">
      <selection activeCell="D6" sqref="D6"/>
    </sheetView>
  </sheetViews>
  <sheetFormatPr defaultRowHeight="15" x14ac:dyDescent="0.25"/>
  <cols>
    <col min="1" max="1" width="15.5703125" customWidth="1"/>
    <col min="2" max="2" width="18.85546875" customWidth="1"/>
  </cols>
  <sheetData>
    <row r="1" spans="1:2" x14ac:dyDescent="0.25">
      <c r="A1" t="s">
        <v>61</v>
      </c>
      <c r="B1" t="s">
        <v>62</v>
      </c>
    </row>
    <row r="2" spans="1:2" x14ac:dyDescent="0.25">
      <c r="A2" t="s">
        <v>27</v>
      </c>
      <c r="B2" t="s">
        <v>12</v>
      </c>
    </row>
    <row r="3" spans="1:2" x14ac:dyDescent="0.25">
      <c r="A3" t="s">
        <v>22</v>
      </c>
      <c r="B3" t="s">
        <v>10</v>
      </c>
    </row>
    <row r="4" spans="1:2" x14ac:dyDescent="0.25">
      <c r="A4" t="s">
        <v>23</v>
      </c>
      <c r="B4" t="s">
        <v>17</v>
      </c>
    </row>
    <row r="5" spans="1:2" x14ac:dyDescent="0.25">
      <c r="A5" t="s">
        <v>24</v>
      </c>
      <c r="B5" t="s">
        <v>7</v>
      </c>
    </row>
    <row r="6" spans="1:2" x14ac:dyDescent="0.25">
      <c r="A6" t="s">
        <v>25</v>
      </c>
      <c r="B6" t="s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cards</vt:lpstr>
      <vt:lpstr>high_and_low</vt:lpstr>
      <vt:lpstr>paths_to_victory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Didrik Roest</dc:creator>
  <cp:lastModifiedBy>Didrik Roest</cp:lastModifiedBy>
  <dcterms:created xsi:type="dcterms:W3CDTF">2015-06-05T18:17:20Z</dcterms:created>
  <dcterms:modified xsi:type="dcterms:W3CDTF">2026-08-08T19:47:11Z</dcterms:modified>
</cp:coreProperties>
</file>